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futrantechsolutions.sharepoint.com/sites/FutranDocConnect/FS Projects/Projects/Internal Projects_Initatives/AWS Initiatives/06 Clinic Chat/02 Requirements/Business/"/>
    </mc:Choice>
  </mc:AlternateContent>
  <xr:revisionPtr revIDLastSave="238" documentId="11_F608ABA63C434159A57D7A1BA8FC01FC26D9A910" xr6:coauthVersionLast="47" xr6:coauthVersionMax="47" xr10:uidLastSave="{5F3D9A73-A325-44B1-8FD0-28533C3396D0}"/>
  <bookViews>
    <workbookView xWindow="-120" yWindow="-120" windowWidth="20730" windowHeight="11040" tabRatio="500" xr2:uid="{00000000-000D-0000-FFFF-FFFF00000000}"/>
  </bookViews>
  <sheets>
    <sheet name="Detailed Feature Expansion" sheetId="1" r:id="rId1"/>
    <sheet name="Risks" sheetId="2" r:id="rId2"/>
    <sheet name="Out Of Scope" sheetId="3" r:id="rId3"/>
    <sheet name="Open Confirmations" sheetId="4" r:id="rId4"/>
  </sheets>
  <definedNames>
    <definedName name="_xlnm._FilterDatabase" localSheetId="0" hidden="1">'Detailed Feature Expansion'!$A$2:$P$23</definedName>
  </definedNames>
  <calcPr calcId="191028" iterateDelta="1E-4"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7" i="1" l="1"/>
  <c r="L4" i="1"/>
  <c r="L5" i="1"/>
  <c r="L6" i="1"/>
  <c r="L7" i="1"/>
  <c r="L8" i="1"/>
  <c r="L9" i="1"/>
  <c r="L10" i="1"/>
  <c r="L11" i="1"/>
  <c r="L12" i="1"/>
  <c r="L13" i="1"/>
  <c r="L14" i="1"/>
  <c r="L15" i="1"/>
  <c r="L16" i="1"/>
  <c r="L18" i="1"/>
  <c r="L19" i="1"/>
  <c r="L20" i="1"/>
  <c r="L21" i="1"/>
  <c r="L22" i="1"/>
  <c r="L3" i="1"/>
  <c r="K1" i="1"/>
  <c r="J1" i="1"/>
  <c r="I1" i="1"/>
  <c r="M1" i="1" s="1"/>
  <c r="L1" i="1" l="1"/>
</calcChain>
</file>

<file path=xl/sharedStrings.xml><?xml version="1.0" encoding="utf-8"?>
<sst xmlns="http://schemas.openxmlformats.org/spreadsheetml/2006/main" count="374" uniqueCount="309">
  <si>
    <t>Feature ID</t>
  </si>
  <si>
    <t>Phase</t>
  </si>
  <si>
    <t xml:space="preserve">Phase </t>
  </si>
  <si>
    <t>Module</t>
  </si>
  <si>
    <t>Feature / Capability</t>
  </si>
  <si>
    <t>Detailed Explanation</t>
  </si>
  <si>
    <t>Details for Estimation</t>
  </si>
  <si>
    <t>Task</t>
  </si>
  <si>
    <t>AI</t>
  </si>
  <si>
    <t>BE</t>
  </si>
  <si>
    <t>FE</t>
  </si>
  <si>
    <t>Business Purpose</t>
  </si>
  <si>
    <t>Primary Users</t>
  </si>
  <si>
    <t>Dependencies / Notes</t>
  </si>
  <si>
    <t>Acceptance Criteria</t>
  </si>
  <si>
    <t>CC-P1-001</t>
  </si>
  <si>
    <t>Phase 1 - MVP</t>
  </si>
  <si>
    <t>Data Ingestion</t>
  </si>
  <si>
    <t>Schema-flexible, mapping-free conversation &amp; trace ingestion</t>
  </si>
  <si>
    <r>
      <rPr>
        <sz val="11"/>
        <color rgb="FF000000"/>
        <rFont val="Calibri"/>
        <family val="2"/>
      </rPr>
      <t>Ingest the full conversation turn along wit</t>
    </r>
    <r>
      <rPr>
        <sz val="11"/>
        <color rgb="FF0070C0"/>
        <rFont val="Calibri"/>
        <family val="2"/>
      </rPr>
      <t>h History of that conversation</t>
    </r>
    <r>
      <rPr>
        <sz val="11"/>
        <color rgb="FF000000"/>
        <rFont val="Calibri"/>
        <family val="2"/>
      </rPr>
      <t>(user message, raw AI response/trace, flow_type, sub_flow, all matched intents with confidences, response text, picklist and active options) and keep working when the raw-trace structure changes, without relying on a predefined, hard-coded schema mapping.</t>
    </r>
  </si>
  <si>
    <t>• Connect to existing Clinic Chat's RDS database and read the conversation records
• Make it keep working even when the data format changes
• No fixed template - build it to adjust on its own
• Set up a safe, read-only connection</t>
  </si>
  <si>
    <t>Historical Data - Ingestion Pipe Line 
AI Instruction Analysis
Instruction Optimization
Historical Evaluation
Instruction Version Management</t>
  </si>
  <si>
    <t>The trace shape and flows keep changing; the audit must adapt to new or renamed fields without breaking or needing a remap each time.</t>
  </si>
  <si>
    <t>System</t>
  </si>
  <si>
    <t>Traces to FR-DATA-001. Flexibility contract (OQ-03). Data access &amp; BAA (OQ-01).</t>
  </si>
  <si>
    <t>Ingestion reads current data and keeps working when the trace structure changes without a predefined mapping.</t>
  </si>
  <si>
    <t>CC-P1-002</t>
  </si>
  <si>
    <t>Audit &amp; Detection Engine</t>
  </si>
  <si>
    <t>Recurring batch/queued audit engine</t>
  </si>
  <si>
    <t>A scheduled, queued batch audit that re-analyses conversation data offline with a larger-context generative model, separate from the fast/low-cost production path, able to take richer context than the real-time path.</t>
  </si>
  <si>
    <t>• Build a background Audit job that runs on a set schedule
• Send batches of offline conversations to a bigger AI (generative model) to re-check
• Keep it fully separate from the existing live clinicchat bot so nothing slows down
• Save the results so they can be viewed later</t>
  </si>
  <si>
    <t>Schedule batch for migration</t>
  </si>
  <si>
    <t>Enable a deeper audit than the real-time bot can afford, at scale, without slowing or inflating the production path.</t>
  </si>
  <si>
    <t>Owner/Admin (operates), System</t>
  </si>
  <si>
    <t>Traces to FR-ENG-001. Approach/model/frequency/volume (OQ-04). Schema flexibility (OQ-03).</t>
  </si>
  <si>
    <t>The engine runs over a batch of conversation turns and produces structured findings.</t>
  </si>
  <si>
    <t>CC-P1-003</t>
  </si>
  <si>
    <t>Flow selection / classification audit</t>
  </si>
  <si>
    <t>Evaluate whether the initial classifier and the resulting sub-flow selection were correct for each turn (e.g. whether "substantive_question" vs a survey flow vs "other" was the right route), independently of the response-vs-intent check.</t>
  </si>
  <si>
    <t>• Check whether each message was sent down the correct path from Initial classification and through each sub-flow.
• Compare the path taken with the path it should have taken
• Flag the ones that went the wrong way</t>
  </si>
  <si>
    <t xml:space="preserve">Initial Classification &amp; sub flow Path </t>
  </si>
  <si>
    <t>Catch mis-routing at the classification stage, which response-level checks alone miss.</t>
  </si>
  <si>
    <t>Content Reviewer, Developer</t>
  </si>
  <si>
    <t>Traces to FR-FLOW-001. Feeds trend analysis (CC-P1-013) and routing (OQ-05).</t>
  </si>
  <si>
    <t>Each turn's flow/sub-flow selection is assessed as correct or mis-routed.</t>
  </si>
  <si>
    <t>CC-P1-004</t>
  </si>
  <si>
    <t>Failure-type detection</t>
  </si>
  <si>
    <r>
      <t xml:space="preserve">Detect and label: 
</t>
    </r>
    <r>
      <rPr>
        <sz val="11"/>
        <color rgb="FF002060"/>
        <rFont val="Calibri"/>
        <family val="2"/>
      </rPr>
      <t>(a) missing library content; 
(b) genuine AI miss (content exists but was not matched); 
(c) missed high-priority sub-flow event (STOP opt-out or emergency/self-harm escalation 911/988); 
(d) response-vs-intent mismatch.</t>
    </r>
  </si>
  <si>
    <t>• Sort each problem into one of four simple buckets
• Add a catch-all bucket for anything that does not fit
• Tag each problem so it can be sent to the right person</t>
  </si>
  <si>
    <t>Categorise the issue to 4 Groups</t>
  </si>
  <si>
    <t>Turn raw conversation data into specific, actionable, routed findings.</t>
  </si>
  <si>
    <t>Traces to FR-ENG-002. Escalation sensitivity (OQ-06). Routing (OQ-05).</t>
  </si>
  <si>
    <t>Each finding carries one of the four failure types.</t>
  </si>
  <si>
    <t>CC-P1-005</t>
  </si>
  <si>
    <t>Top-N matched intent analysis</t>
  </si>
  <si>
    <t>Audit all matched intents for a turn (the top-N candidates and their confidences), not only the selected intent, to assess ranking correctness and identify overlap or incorrect ordering between close candidates.</t>
  </si>
  <si>
    <t>• Look at every answer the AI considered, not just the one it picked
• Check whether the best answer was ranked correctly
• Flag cases where two answers were too close to call</t>
  </si>
  <si>
    <t xml:space="preserve">AI Audit Engine - Ranking </t>
  </si>
  <si>
    <t>The selected intent alone hides ranking errors and overlap; the full candidate set is where confusion shows up.</t>
  </si>
  <si>
    <t>Traces to FR-TOPN-001. Needs top-N matched intents + scores + response text (Assumption A-06). Feeds CC-P1-006.</t>
  </si>
  <si>
    <t>The audit evaluates the top-N matched intents and flags mis-ranking / overlap.</t>
  </si>
  <si>
    <t>CC-P1-006</t>
  </si>
  <si>
    <t>Intent overlap / near-duplicate detection</t>
  </si>
  <si>
    <t>Detect overlapping or near-duplicate intents, names, and descriptions and suggest merges (e.g. "what if I don't want to quit using" vs "what if I don't think I can quit using").</t>
  </si>
  <si>
    <t>• Compare all saved answers to find near-duplicates
• Suggest which ones could be combined
• Group similar ones together for a person to review</t>
  </si>
  <si>
    <t xml:space="preserve">in case of Mutiple Ans - Human in Loop </t>
  </si>
  <si>
    <t>Reduce confusion from a large hand-built intent set and improve matching accuracy.</t>
  </si>
  <si>
    <t>Traces to FR-ENG-003. Works with Top-N analysis (CC-P1-005).</t>
  </si>
  <si>
    <t>Overlapping / near-duplicate intents are surfaced with a merge suggestion.</t>
  </si>
  <si>
    <t>CC-P1-007</t>
  </si>
  <si>
    <t>Borderline high-confidence semantic-mismatch detection</t>
  </si>
  <si>
    <t>Specifically identify responses that matched at high confidence but are semantically wrong for what the user asked (e.g. a 92%-confidence match that does not actually address the question).</t>
  </si>
  <si>
    <t>• Catch answers the AI was sure about but still got wrong
• Compare the question and answer for real meaning, not just confidence
• Flag these mismatches</t>
  </si>
  <si>
    <t>Compare Answer not only Confidenence Level</t>
  </si>
  <si>
    <t>This recurring failure is invisible to confidence thresholds and needs a semantic check.</t>
  </si>
  <si>
    <t>Traces to FR-SEM-001. Uses output quality assessment (CC-P1-008).</t>
  </si>
  <si>
    <t>High-confidence but semantically incorrect matches are flagged.</t>
  </si>
  <si>
    <t>CC-P1-008</t>
  </si>
  <si>
    <t>Output quality assessment (answers the actual question)</t>
  </si>
  <si>
    <t>Assess each audited response for accuracy, confidence, escalation correctness, response-vs-intent alignment, and - explicitly - whether the response actually answers the user's real question, not only whether it matches the chosen intent.</t>
  </si>
  <si>
    <t>• Score each answer for whether it was correct
• Check whether it actually answered what the user asked
• Mark weak or off-topic answers</t>
  </si>
  <si>
    <t>Create a scoring model for mutiple dimension
Criteria            	 Weight
Correctness  -  30%
Relevance  -  20%
Groundedness / Faithfulness   -  20%
Completeness  -  15%
Safety / Policy Compliance  -  10%
Tone / Communication -15%</t>
  </si>
  <si>
    <t>Move from "did it match an intent" to "did it answer the user", surfacing subtle failures.</t>
  </si>
  <si>
    <t>Owner/Admin, Content Reviewer</t>
  </si>
  <si>
    <t>Traces to FR-OQS-001. Rubric &amp; thresholds (OQ-07).</t>
  </si>
  <si>
    <t>Each response is scored, including "answers the user's actual question"; weak/off-target answers are flagged.</t>
  </si>
  <si>
    <t>CC-P1-009</t>
  </si>
  <si>
    <t>Picklist correctness audit</t>
  </si>
  <si>
    <t>Audit the picklist presented and whether the option the user selected (or was routed to) matches what the user actually requested.</t>
  </si>
  <si>
    <t>• Check the menu of options that was shown to the user
• Confirm the option they landed on matched what they asked for
• Flag wrong selections</t>
  </si>
  <si>
    <t xml:space="preserve">check the intent and Qst /options and seleted result
Do audit and scoring </t>
  </si>
  <si>
    <t>Picklist mis-selection is a distinct failure mode not caught by intent checks.</t>
  </si>
  <si>
    <t>Traces to FR-PICK-001. Needs picklist + active options (Data Requirements).</t>
  </si>
  <si>
    <t>The picklist and selected option are assessed against the user's request.</t>
  </si>
  <si>
    <t>CC-P1-010</t>
  </si>
  <si>
    <t>Survey flow / state audit</t>
  </si>
  <si>
    <t>Audit survey handling: valid vs invalid response handling, interruption handling, re-asking the question after an interruption, and correction/back flows.</t>
  </si>
  <si>
    <t>• Check how surveys handle good vs bad answers
• Check interruptions and re-asking of a question
• Check going back to correct an earlier answer</t>
  </si>
  <si>
    <t>Audit on Survey Questions</t>
  </si>
  <si>
    <t>Surveys are a core, stateful path; errors here directly affect verification outcomes.</t>
  </si>
  <si>
    <t>Content Reviewer, Application Assister</t>
  </si>
  <si>
    <t>Traces to FR-SURV-001. Needs survey states (Data Requirements).</t>
  </si>
  <si>
    <t>Survey handling (valid/invalid, interruption, re-ask, correction/back) is assessed per conversation.</t>
  </si>
  <si>
    <t>CC-P1-011</t>
  </si>
  <si>
    <t>Document verification-rule &amp; extraction-quality audit</t>
  </si>
  <si>
    <t>Audit both the OCR/extraction quality on uploaded pay stubs/IDs (including blurry/unreadable images) and the verification logic applied to the extracted values (e.g. a document date that conflicts with the current date, income thresholds) - not just extraction accuracy.</t>
  </si>
  <si>
    <t>• Check how well text was read from uploaded documents
• Check the rules applied to that text (for example, a date check)
• Flag blurry images and rule errors
• Needs safe handling of sensitive documents</t>
  </si>
  <si>
    <t xml:space="preserve">Doc Upload and Storage (Sensitive image)
Doc Quality and blured detetion 
OCR processing 
OCR Quality Audit 
Structured data Extraction 
 Business rule engine for Audit 
Rule error Audit 
Bedrock Audit Layer </t>
  </si>
  <si>
    <t>Verification errors, not just extraction errors, drive wrong outcomes.</t>
  </si>
  <si>
    <t>Traces to FR-VER-001. Pulls document data into the audit path - PII handling (OQ-02); approach (OQ-08).</t>
  </si>
  <si>
    <t>Extraction quality and verification-rule outcomes are both assessed and errors flagged.</t>
  </si>
  <si>
    <t>CC-P1-012</t>
  </si>
  <si>
    <t>Image + AI-trace combined auditing</t>
  </si>
  <si>
    <t>Support passing the source image/PDF together with the AI trace into the audit model for end-to-end evaluation of a turn (what the user sent, what was extracted, how it was handled), not just the extraction output.</t>
  </si>
  <si>
    <t>• Feed the actual document image plus the AI's steps into the check together
• Judge the whole thing end to end, not just the extracted text
• Needs safe handling of sensitive images</t>
  </si>
  <si>
    <t xml:space="preserve">Taken care </t>
  </si>
  <si>
    <t>Some failures are only visible when the image and the trace are evaluated together.</t>
  </si>
  <si>
    <t>Traces to FR-IMG-001. PHI images in the audit path - PII handling &amp; approach (OQ-02, OQ-08).</t>
  </si>
  <si>
    <t>The audit can evaluate a turn using the source image/PDF plus the AI trace together.</t>
  </si>
  <si>
    <t>CC-P1-013</t>
  </si>
  <si>
    <t>Trend analysis for recurring routing / intent-confusion failures</t>
  </si>
  <si>
    <t>Analyse recurring confusion between similar intents and recurring routing/classification failures over time, using conversation trends, to surface systemic problems rather than only per-turn findings.</t>
  </si>
  <si>
    <t>• Track problems over time, not just one at a time
• Spot the same issues repeating
• Show patterns of routing and confusion</t>
  </si>
  <si>
    <t xml:space="preserve">Capture every audit events
Identify the recurring issues 
Track Routing and Confusing patterns
Detect Confusion loops </t>
  </si>
  <si>
    <t>Repeated confusion between the same intents is a systemic issue that per-turn findings miss.</t>
  </si>
  <si>
    <t>Traces to FR-TREND-001. Feeds reporting (CC-P1-020) and new-flow recommendations (CC-P1-014).</t>
  </si>
  <si>
    <t>Recurring intent-confusion and routing failures are identified as trends over time.</t>
  </si>
  <si>
    <t>CC-P1-014</t>
  </si>
  <si>
    <t>Content &amp; Change Routing</t>
  </si>
  <si>
    <t>New-flow recommendation</t>
  </si>
  <si>
    <t>When recurring conversations cannot be mapped appropriately to any existing flow or intent, recommend creating a new flow - not only a new intent or answer.</t>
  </si>
  <si>
    <t>• Spot recurring questions that fit no existing path
• Recommend building a brand-new path for them</t>
  </si>
  <si>
    <t xml:space="preserve">Capture umatched question
Group simetically similar qst 
Compare existing path 
Calculate If new path justified 
Human in Loop Approval 
</t>
  </si>
  <si>
    <t>Some gaps need a new flow, not just new content; this should be recommended explicitly.</t>
  </si>
  <si>
    <t>Traces to FR-NEWFLOW-001. Uses trend analysis (CC-P1-013).</t>
  </si>
  <si>
    <t>Recurring unmappable conversations produce a new-flow recommendation.</t>
  </si>
  <si>
    <t>CC-P1-015</t>
  </si>
  <si>
    <t>Prompt review</t>
  </si>
  <si>
    <t>Review the LangGraph prompts and recommend which parts to change to catch more misses. (Advanced optimisation and token reduction are a later phase - CC-P2-001.)</t>
  </si>
  <si>
    <t>• Read the instructions currently given to the AI
• Suggest specific wording changes to catch more misses
• Basic review only - deeper tuning is a later phase</t>
  </si>
  <si>
    <t>Read current AI instructions.
Identify vague wording.
Find missing intent definitions.
Identify conflicting instructions.
Identify missing exception cases.
Link failures to possible instruction gaps.
Suggest exact wording changes.
Show evidence supporting the suggestion.</t>
  </si>
  <si>
    <t>Prompt issues are a direct cause of misses; a review is wanted from the start.</t>
  </si>
  <si>
    <t>Owner/Admin, Developer</t>
  </si>
  <si>
    <t>Traces to FR-PRM-001. Prompts to be provided. Advanced depth deferred (OQ-09).</t>
  </si>
  <si>
    <t>Prompt-change recommendations are delivered from Phase 1.</t>
  </si>
  <si>
    <t>CC-P1-016</t>
  </si>
  <si>
    <t>Review &amp; Findings</t>
  </si>
  <si>
    <t>Conversation &amp; findings review view</t>
  </si>
  <si>
    <t>A view that brings conversations together with the audit findings, so a reviewer can see what the AI did in a turn (flow, matched intents, response text, confidence) and the issues the audit raised, without reading raw logs.</t>
  </si>
  <si>
    <t>• Build one screen showing the conversation and the issues found
• Let reviewers see everything without digging through logs</t>
  </si>
  <si>
    <r>
      <t xml:space="preserve">Build a unified conversation audit </t>
    </r>
    <r>
      <rPr>
        <b/>
        <sz val="11"/>
        <rFont val="Calibri"/>
        <family val="2"/>
      </rPr>
      <t>Dashboard</t>
    </r>
    <r>
      <rPr>
        <sz val="11"/>
        <rFont val="Calibri"/>
        <family val="2"/>
      </rPr>
      <t xml:space="preserve"> 
 - conversation transcript
- audit findings
- expected-versus-actual behavior
 - AI processing steps
-  Reviewer actions in a single screen so reviewers can understand and validate issues without navigating raw logs or multiple systems.</t>
    </r>
  </si>
  <si>
    <t>Give the team one place to see what happened in the back end and what the audit found.</t>
  </si>
  <si>
    <t>Traces to FR-VIEW-001. Depends on CC-P1-002/001. Data access &amp; BAA (OQ-01).</t>
  </si>
  <si>
    <t>A reviewer can open a conversation and see turn detail alongside the audit findings.</t>
  </si>
  <si>
    <t>CC-P1-017</t>
  </si>
  <si>
    <t>Prioritised review queue</t>
  </si>
  <si>
    <t>A prioritised list of the conversations most worth human attention: unanswered, risky, low-confidence, or escalated, and specifically any missed STOP opt-outs or emergency/self-harm escalations.</t>
  </si>
  <si>
    <t>• Build a ranked to-do list of the riskiest conversations
• Push missed emergencies and low-confidence ones to the top</t>
  </si>
  <si>
    <t xml:space="preserve">Risk Signal Detection 
Risk Scoring Engine
Priority Scoring 
Risk Explanation 
</t>
  </si>
  <si>
    <t>Focus scarce human review time on the conversations most likely to be wrong or unsafe.</t>
  </si>
  <si>
    <t>Traces to FR-CRQ-001..002. Escalation sensitivity (OQ-06). Routing (OQ-05).</t>
  </si>
  <si>
    <t>A prioritised queue of unanswered / risky / low-confidence / escalated conversations is shown.</t>
  </si>
  <si>
    <t>CC-P1-018</t>
  </si>
  <si>
    <t>Content-gap identification &amp; draft answer</t>
  </si>
  <si>
    <t>Identify recurring user questions with no matching library content, grouped by topic and frequency, and draft a candidate new question/answer for a human to review.</t>
  </si>
  <si>
    <t>• Group repeated questions that have no answer today
• Draft a suggested answer for a person to review</t>
  </si>
  <si>
    <t>idnetify the unanswared Qst 
Grouping similar 
Generate Suggested Ans
Human in Loop approval (UI)</t>
  </si>
  <si>
    <t>Show where new content is needed and speed up filling those gaps.</t>
  </si>
  <si>
    <t>Content Reviewer, Owner/Admin</t>
  </si>
  <si>
    <t>Traces to FR-CGR-001. Feeds change routing (CC-P1-019).</t>
  </si>
  <si>
    <t>Recurring unmatched questions are grouped by topic with frequency, and a candidate answer is drafted.</t>
  </si>
  <si>
    <t>CC-P1-019</t>
  </si>
  <si>
    <t>Human-approved change routing (into existing content workflow)</t>
  </si>
  <si>
    <t>A human reviews and approves a drafted new/updated answer, an intent merge, or a new-flow recommendation; on approval the change is routed into the existing content workflow / CMS for action. This platform does not directly modify the live intent library. Genuine AI misses route to developers and missed STOP/emergency events are flagged for handling.</t>
  </si>
  <si>
    <t>• Let a person approve each change before anything happens
• Send approved changes into their existing content system
• Do not edit their live answer library directly</t>
  </si>
  <si>
    <t xml:space="preserve">Human in Loop approval (UI) for all Steps </t>
  </si>
  <si>
    <t>Close the loop while keeping changes flowing through the existing content workflow, with human control.</t>
  </si>
  <si>
    <t>Content Reviewer, Owner/Admin, Developer</t>
  </si>
  <si>
    <t>Traces to FR-ROUTE-001..002. Routing target / integration (OQ-10). No direct library write (Assumption A-07).</t>
  </si>
  <si>
    <t>An approved change is routed into the existing content workflow; misses route to developers; no direct library write by this platform.</t>
  </si>
  <si>
    <t>CC-P1-020</t>
  </si>
  <si>
    <t>Reporting</t>
  </si>
  <si>
    <t>Failure-pattern, overlap, unanswered &amp; trend reporting</t>
  </si>
  <si>
    <t>Reporting that highlights recurring failure patterns, recurring overlapping intents, and recurring unanswered questions, with trend analysis over time - in addition to counts and percentages of problems per period.</t>
  </si>
  <si>
    <t>• Build reports of recurring problems and trends
• Show what kinds of problems happen, not just totals
• Help the team see what to fix first</t>
  </si>
  <si>
    <t>Build a reporting and analytics capability that aggregates audit findings over time, identifies recurring problem types and trends, provides drill-down from problem categories to affected conversations, and ranks recommended improvements so the team knows what to fix first.</t>
  </si>
  <si>
    <t>Give actionable reporting on systemic issues and trends, not just totals.</t>
  </si>
  <si>
    <t>Owner/Admin</t>
  </si>
  <si>
    <t>Traces to FR-RPT-001. Uses trend analysis (CC-P1-013).</t>
  </si>
  <si>
    <t>Reports show recurring failure patterns, overlapping intents, unanswered questions, and trends, plus counts/percentages.</t>
  </si>
  <si>
    <t>CC-P2-001</t>
  </si>
  <si>
    <t>Phase 2 - Later</t>
  </si>
  <si>
    <t>Advanced prompt &amp; token optimisation</t>
  </si>
  <si>
    <t>Deeper prompt optimisation and token-usage reduction, potentially including proposed edits to production prompts, once the review loop is established.</t>
  </si>
  <si>
    <t>• Deeper tuning of the AI's instructions (later phase)
• Reduce the running cost
• May involve editing the live instructions - to be confirmed</t>
  </si>
  <si>
    <t>Reduce cost and further improve accuracy beyond the initial prompt review.</t>
  </si>
  <si>
    <t>Follows prompt review (CC-P1-015). Depth / edit rights (OQ-09).</t>
  </si>
  <si>
    <t>Advanced prompt / token-optimisation changes are proposed (once depth confirmed).</t>
  </si>
  <si>
    <t>Risk Category</t>
  </si>
  <si>
    <t>Risk Description</t>
  </si>
  <si>
    <t>Required Mitigation / Control</t>
  </si>
  <si>
    <t>Impacted Phase</t>
  </si>
  <si>
    <t>Data dependency</t>
  </si>
  <si>
    <t>Read access to conversation data (conversation turn / SMS / AI-audit-payload) and a signed BAA are not yet in place; the audit cannot be built or validated without them.</t>
  </si>
  <si>
    <t>Confirm access method, credentials, and BAA before design/build; stage early work on de-identified / sample data.</t>
  </si>
  <si>
    <t>Phase 1</t>
  </si>
  <si>
    <t>Compliance / PII</t>
  </si>
  <si>
    <t>PII is double-encrypted and auto-deleted after verification; the audit (including document and image + trace auditing) needs conversation content, creating tension with HIPAA/SOC-2 obligations.</t>
  </si>
  <si>
    <t>Confirm redacted vs decryption and the retention window; ensure PHI access is logged; confirm the image-into-audit approach (OQ-02, OQ-08).</t>
  </si>
  <si>
    <t>Schema volatility</t>
  </si>
  <si>
    <t>The raw AI-trace structure and flows change frequently; a rigid or hard-mapped audit will break as new flows/fields are added.</t>
  </si>
  <si>
    <t>Build mapping-free, schema-flexible ingestion and reasoning; agree the flexibility contract (OQ-03).</t>
  </si>
  <si>
    <t>All phases</t>
  </si>
  <si>
    <t>Safety-critical misses</t>
  </si>
  <si>
    <t>Failing to catch STOP opt-outs or emergency/self-harm escalations (911/988) carries regulatory and human-safety impact.</t>
  </si>
  <si>
    <t>Prioritise escalation-miss detection; err toward flagging borderline cases; confirm false-positive tolerance (OQ-06).</t>
  </si>
  <si>
    <t>Audit quality / trust</t>
  </si>
  <si>
    <t>The generative audit could itself mis-judge (false positives/negatives), creating noise or eroding trust.</t>
  </si>
  <si>
    <t>Keep human-in-the-loop approval; validate against a human-reviewed sample; target &gt;=90% parity with a human reviewer.</t>
  </si>
  <si>
    <t>Throughput / approach</t>
  </si>
  <si>
    <t>Auditing a high volume of turns per day across many audit types with larger-context models must use an efficient queued/batch approach or it will not scale.</t>
  </si>
  <si>
    <t>Confirm the queued/batch Bedrock approach, model choice, run frequency, and volume (OQ-04); sequence heavier audits (image/trace) accordingly.</t>
  </si>
  <si>
    <t>Change-routing integration</t>
  </si>
  <si>
    <t>The target content workflow / CMS and whether this platform writes or only routes/recommends changes are not yet confirmed.</t>
  </si>
  <si>
    <t>Confirm the routing target and integration; keep this platform to routing/recommending, not direct library writes (OQ-10).</t>
  </si>
  <si>
    <t>Scope confirmation</t>
  </si>
  <si>
    <t>Open items (OQ-01..OQ-10) may reshape requirements if answered late.</t>
  </si>
  <si>
    <t>Resolve open confirmations before locking each affected requirement; use change control thereafter.</t>
  </si>
  <si>
    <t>Phase 0 / 1</t>
  </si>
  <si>
    <t>Sr No</t>
  </si>
  <si>
    <t>Out Of Scope / Not in This Engagement</t>
  </si>
  <si>
    <t>Scope Treatment / Detailed Explanation</t>
  </si>
  <si>
    <t>1</t>
  </si>
  <si>
    <t>Building or rebuilding the SMS chatbot itself</t>
  </si>
  <si>
    <t>The chatbot is live and revenue-generating; this engagement builds the audit / continuous-improvement layer around it. Existing build features (Twilio SMS integration, Bedrock extraction, S3 image mapping, PII encryption, FHIR/flat-file export) describe the current production system, not this build.</t>
  </si>
  <si>
    <t>2</t>
  </si>
  <si>
    <t>Modifying the live bot's real-time behaviour</t>
  </si>
  <si>
    <t>The audit is advisory and human-approved; it does not silently change production responses.</t>
  </si>
  <si>
    <t>3</t>
  </si>
  <si>
    <t>Directly modifying the live intent library / content</t>
  </si>
  <si>
    <t>This platform identifies, drafts, and recommends changes and routes approved changes into the existing content workflow / CMS; it does not write directly to the live intent library (see CC-P1-019, OQ-10).</t>
  </si>
  <si>
    <t>4</t>
  </si>
  <si>
    <t>Changing the deterministic response logic / zero-hallucination design</t>
  </si>
  <si>
    <t>The user-facing bot stays deterministic. The audit layer uses generative models offline and does not alter the bot's response mechanism.</t>
  </si>
  <si>
    <t>Open Item ID</t>
  </si>
  <si>
    <t>Open Confirmation / Dependency</t>
  </si>
  <si>
    <t>Why It Matters</t>
  </si>
  <si>
    <t>Impact If Not Confirmed</t>
  </si>
  <si>
    <t>Required Owner / Action</t>
  </si>
  <si>
    <t>Affected Features</t>
  </si>
  <si>
    <t>Phase Gate</t>
  </si>
  <si>
    <t>OQ-01</t>
  </si>
  <si>
    <t>Data access &amp; environment + signed BAA - read access to the conversation turn / SMS / AI-audit-payload data (read replica, export, or production query) and credentials (SSO/.pem).</t>
  </si>
  <si>
    <t>Foundation for the entire audit; PHI cannot be touched without a BAA.</t>
  </si>
  <si>
    <t>Blocks all audit development and validation.</t>
  </si>
  <si>
    <t>Clinic Chat to provide access and sign BAA; Futran to define the connection.</t>
  </si>
  <si>
    <t>All features</t>
  </si>
  <si>
    <t>Phase 0/1</t>
  </si>
  <si>
    <t>OQ-02</t>
  </si>
  <si>
    <t>PII handling for the audit: redacted/de-identified vs decryption, retention window after verification, and handling of PHI-bearing images/PDFs pulled into the audit.</t>
  </si>
  <si>
    <t>Determines the compliance model and whether the audit (incl. document/image auditing) can see the data it needs.</t>
  </si>
  <si>
    <t>Compliance exposure; audit may lack required data.</t>
  </si>
  <si>
    <t>Clinic Chat (with compliance) to confirm.</t>
  </si>
  <si>
    <t>CC-P1-001, CC-P1-011, CC-P1-012</t>
  </si>
  <si>
    <t>OQ-03</t>
  </si>
  <si>
    <t>Schema-flexibility contract - expected degree of mapping-free adaptability to a changing raw-trace structure (documented JSON with optional fields vs. fully free-form).</t>
  </si>
  <si>
    <t>Materially changes ingestion/engine design and effort.</t>
  </si>
  <si>
    <t>Audit may break as flows change, or be over-engineered.</t>
  </si>
  <si>
    <t>Clinic Chat + Futran to agree the contract.</t>
  </si>
  <si>
    <t>CC-P1-001, CC-P1-002</t>
  </si>
  <si>
    <t>OQ-04</t>
  </si>
  <si>
    <t>Batch/queued audit approach (approach only) - queued Bedrock inference, model choice, run frequency, and volume (all turns vs sample), and sequencing of heavier audits (image/trace).</t>
  </si>
  <si>
    <t>Determines audit architecture and operational feasibility at high daily volume across many audit types.</t>
  </si>
  <si>
    <t>Audit may not scale or may miss latency targets.</t>
  </si>
  <si>
    <t>Clinic Chat + Futran to confirm the approach.</t>
  </si>
  <si>
    <t>OQ-05</t>
  </si>
  <si>
    <t>Human-in-the-loop approval and routing rules for the failure types (missing content, AI miss, flow/sub-flow miss, overlap, new-flow recommendation).</t>
  </si>
  <si>
    <t>Defines the change-routing workflow and review-queue behaviour.</t>
  </si>
  <si>
    <t>Workflow requirements remain incomplete.</t>
  </si>
  <si>
    <t>Clinic Chat to confirm.</t>
  </si>
  <si>
    <t>CC-P1-003, CC-P1-004, CC-P1-017, CC-P1-019</t>
  </si>
  <si>
    <t>OQ-06</t>
  </si>
  <si>
    <t>Escalation-miss sensitivity / acceptable false-positive tolerance for borderline emergency / self-harm / STOP cases.</t>
  </si>
  <si>
    <t>Sets detection thresholds for safety-critical findings.</t>
  </si>
  <si>
    <t>Either unsafe misses or excessive review noise.</t>
  </si>
  <si>
    <t>Clinic Chat to confirm tolerance.</t>
  </si>
  <si>
    <t>CC-P1-004, CC-P1-017</t>
  </si>
  <si>
    <t>OQ-07</t>
  </si>
  <si>
    <t>Output-quality rubric - definitions and thresholds for accuracy, confidence, response-vs-intent alignment, "answers the user's actual question", and escalation correctness.</t>
  </si>
  <si>
    <t>Needed to build and calibrate the quality assessment.</t>
  </si>
  <si>
    <t>Scores may not reflect what counts as a correct answer.</t>
  </si>
  <si>
    <t>Clinic Chat + Futran to define the rubric.</t>
  </si>
  <si>
    <t>OQ-08</t>
  </si>
  <si>
    <t>Approach for passing source images/PDFs into the audit model (image + AI-trace and verification-rule auditing) - feasibility and PHI path.</t>
  </si>
  <si>
    <t>Adds PHI documents to the audit path and extra compute; affects sequencing.</t>
  </si>
  <si>
    <t>Document/image auditing cannot proceed safely.</t>
  </si>
  <si>
    <t>CC-P1-011, CC-P1-012</t>
  </si>
  <si>
    <t>OQ-09</t>
  </si>
  <si>
    <t>Advanced prompt-optimisation depth - whether the platform may propose edits to production prompts, and token-reduction scope (prompt review itself is Phase 1).</t>
  </si>
  <si>
    <t>Defines the later-phase deliverable and its effort/risk.</t>
  </si>
  <si>
    <t>Scope of advanced prompt work unclear.</t>
  </si>
  <si>
    <t>Clinic Chat + Futran to confirm.</t>
  </si>
  <si>
    <t>CC-P1-015, CC-P2-001</t>
  </si>
  <si>
    <t>Phase 1/2</t>
  </si>
  <si>
    <t>OQ-10</t>
  </si>
  <si>
    <t>Change-routing target - the existing content workflow / CMS to route approved changes into, confirming this platform routes/recommends rather than writing directly to the library.</t>
  </si>
  <si>
    <t>Defines how approved changes leave the platform and the integration required.</t>
  </si>
  <si>
    <t>Change-routing cannot be built; risk of assuming direct library writes.</t>
  </si>
  <si>
    <t>Clinic Chat to confirm the target and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</si>
</sst>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sz val="11"/>
      <name val="Calibri"/>
      <family val="2"/>
    </font>
    <font>
      <sz val="11"/>
      <color rgb="FF000000"/>
      <name val="Calibri"/>
      <family val="2"/>
    </font>
    <font>
      <sz val="11"/>
      <color rgb="FF0070C0"/>
      <name val="Calibri"/>
      <family val="2"/>
    </font>
    <font>
      <sz val="11"/>
      <color rgb="FF002060"/>
      <name val="Calibri"/>
      <family val="2"/>
    </font>
    <font>
      <b/>
      <sz val="11"/>
      <name val="Calibri"/>
      <family val="2"/>
    </font>
  </fonts>
  <fills count="3">
    <fill>
      <patternFill patternType="none"/>
    </fill>
    <fill>
      <patternFill patternType="gray125"/>
    </fill>
    <fill>
      <patternFill patternType="solid">
        <fgColor rgb="FF002060"/>
        <bgColor rgb="FF00008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center" wrapText="1"/>
    </xf>
    <xf numFmtId="0" fontId="2" fillId="0" borderId="0" xfId="0" applyFont="1" applyAlignment="1">
      <alignment vertical="top" wrapText="1"/>
    </xf>
    <xf numFmtId="0" fontId="1" fillId="2" borderId="0" xfId="0" applyFont="1" applyFill="1" applyAlignment="1">
      <alignment wrapText="1"/>
    </xf>
    <xf numFmtId="0" fontId="2" fillId="0" borderId="0" xfId="0" applyFont="1" applyAlignment="1">
      <alignment wrapText="1"/>
    </xf>
    <xf numFmtId="0" fontId="2" fillId="0" borderId="0" xfId="0" applyFont="1" applyAlignment="1">
      <alignment vertical="center" wrapText="1"/>
    </xf>
    <xf numFmtId="0" fontId="1" fillId="2" borderId="0" xfId="0" applyFont="1" applyFill="1" applyAlignment="1">
      <alignment vertical="center" wrapText="1"/>
    </xf>
    <xf numFmtId="0" fontId="2" fillId="0" borderId="0" xfId="0" applyFont="1" applyAlignment="1">
      <alignment horizontal="left" vertical="center" wrapText="1" indent="1"/>
    </xf>
    <xf numFmtId="0" fontId="2" fillId="0" borderId="0" xfId="0" applyFont="1" applyAlignment="1">
      <alignment horizontal="left" wrapText="1"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tabSelected="1" zoomScale="85" zoomScaleNormal="85" workbookViewId="0">
      <pane ySplit="2" topLeftCell="A21" activePane="bottomLeft" state="frozen"/>
      <selection pane="bottomLeft" activeCell="F3" sqref="F3:F23"/>
    </sheetView>
  </sheetViews>
  <sheetFormatPr defaultColWidth="8.7109375" defaultRowHeight="15" customHeight="1" x14ac:dyDescent="0.25"/>
  <cols>
    <col min="1" max="1" width="20.28515625" customWidth="1"/>
    <col min="2" max="2" width="17.140625" customWidth="1"/>
    <col min="3" max="3" width="6.28515625" customWidth="1"/>
    <col min="4" max="4" width="17.5703125" customWidth="1"/>
    <col min="5" max="5" width="29.7109375" customWidth="1"/>
    <col min="6" max="6" width="63.7109375" customWidth="1"/>
    <col min="7" max="8" width="54" customWidth="1"/>
    <col min="9" max="9" width="5.140625" bestFit="1" customWidth="1"/>
    <col min="10" max="10" width="5.5703125" bestFit="1" customWidth="1"/>
    <col min="11" max="11" width="5.42578125" bestFit="1" customWidth="1"/>
    <col min="12" max="12" width="5.85546875" bestFit="1" customWidth="1"/>
    <col min="13" max="13" width="36" customWidth="1"/>
    <col min="14" max="14" width="13.42578125" customWidth="1"/>
    <col min="15" max="15" width="29.28515625" customWidth="1"/>
    <col min="16" max="16" width="42" customWidth="1"/>
  </cols>
  <sheetData>
    <row r="1" spans="1:16" ht="15" customHeight="1" x14ac:dyDescent="0.25">
      <c r="I1">
        <f>SUBTOTAL(9,I3:I23)</f>
        <v>61</v>
      </c>
      <c r="J1">
        <f>SUBTOTAL(9,J3:J23)</f>
        <v>45</v>
      </c>
      <c r="K1">
        <f>SUBTOTAL(9,K3:K23)</f>
        <v>31</v>
      </c>
      <c r="L1">
        <f>SUBTOTAL(9,L3:L23)</f>
        <v>137</v>
      </c>
      <c r="M1">
        <f>I1/2</f>
        <v>30.5</v>
      </c>
    </row>
    <row r="2" spans="1:16" ht="51.75" customHeight="1" x14ac:dyDescent="0.25">
      <c r="A2" s="1" t="s">
        <v>0</v>
      </c>
      <c r="B2" s="1" t="s">
        <v>1</v>
      </c>
      <c r="C2" s="1" t="s">
        <v>2</v>
      </c>
      <c r="D2" s="1" t="s">
        <v>3</v>
      </c>
      <c r="E2" s="1" t="s">
        <v>4</v>
      </c>
      <c r="F2" s="1" t="s">
        <v>5</v>
      </c>
      <c r="G2" s="3" t="s">
        <v>6</v>
      </c>
      <c r="H2" s="3" t="s">
        <v>7</v>
      </c>
      <c r="I2" s="6" t="s">
        <v>8</v>
      </c>
      <c r="J2" s="6" t="s">
        <v>9</v>
      </c>
      <c r="K2" s="6" t="s">
        <v>10</v>
      </c>
      <c r="L2" s="6" t="s">
        <v>10</v>
      </c>
      <c r="M2" s="1" t="s">
        <v>11</v>
      </c>
      <c r="N2" s="1" t="s">
        <v>12</v>
      </c>
      <c r="O2" s="1" t="s">
        <v>13</v>
      </c>
      <c r="P2" s="1" t="s">
        <v>14</v>
      </c>
    </row>
    <row r="3" spans="1:16" ht="90" x14ac:dyDescent="0.25">
      <c r="A3" s="2" t="s">
        <v>15</v>
      </c>
      <c r="B3" s="2" t="s">
        <v>16</v>
      </c>
      <c r="C3" s="2"/>
      <c r="D3" s="2" t="s">
        <v>17</v>
      </c>
      <c r="E3" s="2" t="s">
        <v>18</v>
      </c>
      <c r="F3" s="2" t="s">
        <v>19</v>
      </c>
      <c r="G3" s="4" t="s">
        <v>20</v>
      </c>
      <c r="H3" s="5" t="s">
        <v>21</v>
      </c>
      <c r="I3" s="5">
        <v>5</v>
      </c>
      <c r="J3" s="5">
        <v>3</v>
      </c>
      <c r="K3" s="5"/>
      <c r="L3" s="5">
        <f>SUM(I3:K3)</f>
        <v>8</v>
      </c>
      <c r="M3" s="2" t="s">
        <v>22</v>
      </c>
      <c r="N3" s="2" t="s">
        <v>23</v>
      </c>
      <c r="O3" s="2" t="s">
        <v>24</v>
      </c>
      <c r="P3" s="2" t="s">
        <v>25</v>
      </c>
    </row>
    <row r="4" spans="1:16" ht="90" x14ac:dyDescent="0.25">
      <c r="A4" s="2" t="s">
        <v>26</v>
      </c>
      <c r="B4" s="2" t="s">
        <v>16</v>
      </c>
      <c r="C4" s="2"/>
      <c r="D4" s="2" t="s">
        <v>27</v>
      </c>
      <c r="E4" s="2" t="s">
        <v>28</v>
      </c>
      <c r="F4" s="2" t="s">
        <v>29</v>
      </c>
      <c r="G4" s="4" t="s">
        <v>30</v>
      </c>
      <c r="H4" s="5" t="s">
        <v>31</v>
      </c>
      <c r="I4" s="5">
        <v>5</v>
      </c>
      <c r="J4" s="5">
        <v>2</v>
      </c>
      <c r="K4" s="4"/>
      <c r="L4" s="5">
        <f t="shared" ref="L4:L22" si="0">SUM(I4:K4)</f>
        <v>7</v>
      </c>
      <c r="M4" s="2" t="s">
        <v>32</v>
      </c>
      <c r="N4" s="2" t="s">
        <v>33</v>
      </c>
      <c r="O4" s="2" t="s">
        <v>34</v>
      </c>
      <c r="P4" s="2" t="s">
        <v>35</v>
      </c>
    </row>
    <row r="5" spans="1:16" ht="90" x14ac:dyDescent="0.25">
      <c r="A5" s="2" t="s">
        <v>36</v>
      </c>
      <c r="B5" s="2" t="s">
        <v>16</v>
      </c>
      <c r="C5" s="2"/>
      <c r="D5" s="2" t="s">
        <v>27</v>
      </c>
      <c r="E5" s="2" t="s">
        <v>37</v>
      </c>
      <c r="F5" s="2" t="s">
        <v>38</v>
      </c>
      <c r="G5" s="4" t="s">
        <v>39</v>
      </c>
      <c r="H5" s="5" t="s">
        <v>40</v>
      </c>
      <c r="I5" s="5">
        <v>3</v>
      </c>
      <c r="J5" s="5">
        <v>3</v>
      </c>
      <c r="K5" s="5"/>
      <c r="L5" s="5">
        <f t="shared" si="0"/>
        <v>6</v>
      </c>
      <c r="M5" s="2" t="s">
        <v>41</v>
      </c>
      <c r="N5" s="2" t="s">
        <v>42</v>
      </c>
      <c r="O5" s="2" t="s">
        <v>43</v>
      </c>
      <c r="P5" s="2" t="s">
        <v>44</v>
      </c>
    </row>
    <row r="6" spans="1:16" ht="93" customHeight="1" x14ac:dyDescent="0.25">
      <c r="A6" s="2" t="s">
        <v>45</v>
      </c>
      <c r="B6" s="2" t="s">
        <v>16</v>
      </c>
      <c r="C6" s="2"/>
      <c r="D6" s="2" t="s">
        <v>27</v>
      </c>
      <c r="E6" s="2" t="s">
        <v>46</v>
      </c>
      <c r="F6" s="2" t="s">
        <v>47</v>
      </c>
      <c r="G6" s="4" t="s">
        <v>48</v>
      </c>
      <c r="H6" s="5" t="s">
        <v>49</v>
      </c>
      <c r="I6" s="5">
        <v>2</v>
      </c>
      <c r="J6" s="5">
        <v>1</v>
      </c>
      <c r="K6" s="5"/>
      <c r="L6" s="5">
        <f t="shared" si="0"/>
        <v>3</v>
      </c>
      <c r="M6" s="2" t="s">
        <v>50</v>
      </c>
      <c r="N6" s="2" t="s">
        <v>42</v>
      </c>
      <c r="O6" s="2" t="s">
        <v>51</v>
      </c>
      <c r="P6" s="2" t="s">
        <v>52</v>
      </c>
    </row>
    <row r="7" spans="1:16" ht="75" x14ac:dyDescent="0.25">
      <c r="A7" s="2" t="s">
        <v>53</v>
      </c>
      <c r="B7" s="2" t="s">
        <v>16</v>
      </c>
      <c r="C7" s="2"/>
      <c r="D7" s="2" t="s">
        <v>27</v>
      </c>
      <c r="E7" s="2" t="s">
        <v>54</v>
      </c>
      <c r="F7" s="2" t="s">
        <v>55</v>
      </c>
      <c r="G7" s="4" t="s">
        <v>56</v>
      </c>
      <c r="H7" s="5" t="s">
        <v>57</v>
      </c>
      <c r="I7" s="5">
        <v>3</v>
      </c>
      <c r="J7" s="5">
        <v>1</v>
      </c>
      <c r="K7" s="5"/>
      <c r="L7" s="5">
        <f t="shared" si="0"/>
        <v>4</v>
      </c>
      <c r="M7" s="2" t="s">
        <v>58</v>
      </c>
      <c r="N7" s="2" t="s">
        <v>42</v>
      </c>
      <c r="O7" s="2" t="s">
        <v>59</v>
      </c>
      <c r="P7" s="2" t="s">
        <v>60</v>
      </c>
    </row>
    <row r="8" spans="1:16" ht="45" x14ac:dyDescent="0.25">
      <c r="A8" s="2" t="s">
        <v>61</v>
      </c>
      <c r="B8" s="2" t="s">
        <v>16</v>
      </c>
      <c r="C8" s="2"/>
      <c r="D8" s="2" t="s">
        <v>27</v>
      </c>
      <c r="E8" s="2" t="s">
        <v>62</v>
      </c>
      <c r="F8" s="2" t="s">
        <v>63</v>
      </c>
      <c r="G8" s="4" t="s">
        <v>64</v>
      </c>
      <c r="H8" s="5" t="s">
        <v>65</v>
      </c>
      <c r="I8" s="5">
        <v>2</v>
      </c>
      <c r="J8" s="5">
        <v>2</v>
      </c>
      <c r="K8" s="5">
        <v>2</v>
      </c>
      <c r="L8" s="5">
        <f t="shared" si="0"/>
        <v>6</v>
      </c>
      <c r="M8" s="2" t="s">
        <v>66</v>
      </c>
      <c r="N8" s="2" t="s">
        <v>42</v>
      </c>
      <c r="O8" s="2" t="s">
        <v>67</v>
      </c>
      <c r="P8" s="2" t="s">
        <v>68</v>
      </c>
    </row>
    <row r="9" spans="1:16" ht="60" x14ac:dyDescent="0.25">
      <c r="A9" s="2" t="s">
        <v>69</v>
      </c>
      <c r="B9" s="2" t="s">
        <v>16</v>
      </c>
      <c r="C9" s="2"/>
      <c r="D9" s="2" t="s">
        <v>27</v>
      </c>
      <c r="E9" s="2" t="s">
        <v>70</v>
      </c>
      <c r="F9" s="2" t="s">
        <v>71</v>
      </c>
      <c r="G9" s="4" t="s">
        <v>72</v>
      </c>
      <c r="H9" s="5" t="s">
        <v>73</v>
      </c>
      <c r="I9" s="5">
        <v>3</v>
      </c>
      <c r="J9" s="5">
        <v>3</v>
      </c>
      <c r="K9" s="5">
        <v>3</v>
      </c>
      <c r="L9" s="5">
        <f t="shared" si="0"/>
        <v>9</v>
      </c>
      <c r="M9" s="2" t="s">
        <v>74</v>
      </c>
      <c r="N9" s="2" t="s">
        <v>42</v>
      </c>
      <c r="O9" s="2" t="s">
        <v>75</v>
      </c>
      <c r="P9" s="2" t="s">
        <v>76</v>
      </c>
    </row>
    <row r="10" spans="1:16" ht="135" x14ac:dyDescent="0.25">
      <c r="A10" s="2" t="s">
        <v>77</v>
      </c>
      <c r="B10" s="2" t="s">
        <v>16</v>
      </c>
      <c r="C10" s="2"/>
      <c r="D10" s="2" t="s">
        <v>27</v>
      </c>
      <c r="E10" s="2" t="s">
        <v>78</v>
      </c>
      <c r="F10" s="2" t="s">
        <v>79</v>
      </c>
      <c r="G10" s="4" t="s">
        <v>80</v>
      </c>
      <c r="H10" s="5" t="s">
        <v>81</v>
      </c>
      <c r="I10" s="5">
        <v>2</v>
      </c>
      <c r="J10" s="5">
        <v>2</v>
      </c>
      <c r="K10" s="5">
        <v>1</v>
      </c>
      <c r="L10" s="5">
        <f t="shared" si="0"/>
        <v>5</v>
      </c>
      <c r="M10" s="2" t="s">
        <v>82</v>
      </c>
      <c r="N10" s="2" t="s">
        <v>83</v>
      </c>
      <c r="O10" s="2" t="s">
        <v>84</v>
      </c>
      <c r="P10" s="2" t="s">
        <v>85</v>
      </c>
    </row>
    <row r="11" spans="1:16" ht="60" x14ac:dyDescent="0.25">
      <c r="A11" s="2" t="s">
        <v>86</v>
      </c>
      <c r="B11" s="2" t="s">
        <v>16</v>
      </c>
      <c r="C11" s="2"/>
      <c r="D11" s="2" t="s">
        <v>27</v>
      </c>
      <c r="E11" s="2" t="s">
        <v>87</v>
      </c>
      <c r="F11" s="2" t="s">
        <v>88</v>
      </c>
      <c r="G11" s="4" t="s">
        <v>89</v>
      </c>
      <c r="H11" s="4" t="s">
        <v>90</v>
      </c>
      <c r="I11" s="5">
        <v>2</v>
      </c>
      <c r="J11" s="5">
        <v>2</v>
      </c>
      <c r="K11" s="5">
        <v>1</v>
      </c>
      <c r="L11" s="5">
        <f t="shared" si="0"/>
        <v>5</v>
      </c>
      <c r="M11" s="2" t="s">
        <v>91</v>
      </c>
      <c r="N11" s="2" t="s">
        <v>42</v>
      </c>
      <c r="O11" s="2" t="s">
        <v>92</v>
      </c>
      <c r="P11" s="2" t="s">
        <v>93</v>
      </c>
    </row>
    <row r="12" spans="1:16" ht="60" x14ac:dyDescent="0.25">
      <c r="A12" s="2" t="s">
        <v>94</v>
      </c>
      <c r="B12" s="2" t="s">
        <v>16</v>
      </c>
      <c r="C12" s="2"/>
      <c r="D12" s="2" t="s">
        <v>27</v>
      </c>
      <c r="E12" s="2" t="s">
        <v>95</v>
      </c>
      <c r="F12" s="2" t="s">
        <v>96</v>
      </c>
      <c r="G12" s="4" t="s">
        <v>97</v>
      </c>
      <c r="H12" s="5" t="s">
        <v>98</v>
      </c>
      <c r="I12" s="5">
        <v>3</v>
      </c>
      <c r="J12" s="5">
        <v>2</v>
      </c>
      <c r="K12" s="5">
        <v>3</v>
      </c>
      <c r="L12" s="5">
        <f t="shared" si="0"/>
        <v>8</v>
      </c>
      <c r="M12" s="2" t="s">
        <v>99</v>
      </c>
      <c r="N12" s="2" t="s">
        <v>100</v>
      </c>
      <c r="O12" s="2" t="s">
        <v>101</v>
      </c>
      <c r="P12" s="2" t="s">
        <v>102</v>
      </c>
    </row>
    <row r="13" spans="1:16" ht="120" x14ac:dyDescent="0.25">
      <c r="A13" s="2" t="s">
        <v>103</v>
      </c>
      <c r="B13" s="2" t="s">
        <v>16</v>
      </c>
      <c r="C13" s="2"/>
      <c r="D13" s="2" t="s">
        <v>27</v>
      </c>
      <c r="E13" s="2" t="s">
        <v>104</v>
      </c>
      <c r="F13" s="2" t="s">
        <v>105</v>
      </c>
      <c r="G13" s="4" t="s">
        <v>106</v>
      </c>
      <c r="H13" s="7" t="s">
        <v>107</v>
      </c>
      <c r="I13" s="5">
        <v>5</v>
      </c>
      <c r="J13" s="5">
        <v>2</v>
      </c>
      <c r="K13" s="5"/>
      <c r="L13" s="5">
        <f t="shared" si="0"/>
        <v>7</v>
      </c>
      <c r="M13" s="2" t="s">
        <v>108</v>
      </c>
      <c r="N13" s="2" t="s">
        <v>100</v>
      </c>
      <c r="O13" s="2" t="s">
        <v>109</v>
      </c>
      <c r="P13" s="2" t="s">
        <v>110</v>
      </c>
    </row>
    <row r="14" spans="1:16" ht="75" x14ac:dyDescent="0.25">
      <c r="A14" s="2" t="s">
        <v>111</v>
      </c>
      <c r="B14" s="2" t="s">
        <v>16</v>
      </c>
      <c r="C14" s="2"/>
      <c r="D14" s="2" t="s">
        <v>27</v>
      </c>
      <c r="E14" s="2" t="s">
        <v>112</v>
      </c>
      <c r="F14" s="2" t="s">
        <v>113</v>
      </c>
      <c r="G14" s="4" t="s">
        <v>114</v>
      </c>
      <c r="H14" s="5" t="s">
        <v>115</v>
      </c>
      <c r="I14" s="5"/>
      <c r="J14" s="5"/>
      <c r="K14" s="5"/>
      <c r="L14" s="5">
        <f t="shared" si="0"/>
        <v>0</v>
      </c>
      <c r="M14" s="2" t="s">
        <v>116</v>
      </c>
      <c r="N14" s="2" t="s">
        <v>42</v>
      </c>
      <c r="O14" s="2" t="s">
        <v>117</v>
      </c>
      <c r="P14" s="2" t="s">
        <v>118</v>
      </c>
    </row>
    <row r="15" spans="1:16" ht="60" x14ac:dyDescent="0.25">
      <c r="A15" s="2" t="s">
        <v>119</v>
      </c>
      <c r="B15" s="2" t="s">
        <v>16</v>
      </c>
      <c r="C15" s="2"/>
      <c r="D15" s="2" t="s">
        <v>27</v>
      </c>
      <c r="E15" s="2" t="s">
        <v>120</v>
      </c>
      <c r="F15" s="2" t="s">
        <v>121</v>
      </c>
      <c r="G15" s="4" t="s">
        <v>122</v>
      </c>
      <c r="H15" s="4" t="s">
        <v>123</v>
      </c>
      <c r="I15" s="5">
        <v>3</v>
      </c>
      <c r="J15" s="5">
        <v>3</v>
      </c>
      <c r="K15" s="5">
        <v>0</v>
      </c>
      <c r="L15" s="5">
        <f t="shared" si="0"/>
        <v>6</v>
      </c>
      <c r="M15" s="2" t="s">
        <v>124</v>
      </c>
      <c r="N15" s="2" t="s">
        <v>83</v>
      </c>
      <c r="O15" s="2" t="s">
        <v>125</v>
      </c>
      <c r="P15" s="2" t="s">
        <v>126</v>
      </c>
    </row>
    <row r="16" spans="1:16" ht="75" x14ac:dyDescent="0.25">
      <c r="A16" s="2" t="s">
        <v>127</v>
      </c>
      <c r="B16" s="2" t="s">
        <v>16</v>
      </c>
      <c r="C16" s="2"/>
      <c r="D16" s="2" t="s">
        <v>128</v>
      </c>
      <c r="E16" s="2" t="s">
        <v>129</v>
      </c>
      <c r="F16" s="2" t="s">
        <v>130</v>
      </c>
      <c r="G16" s="4" t="s">
        <v>131</v>
      </c>
      <c r="H16" s="4" t="s">
        <v>132</v>
      </c>
      <c r="I16" s="5">
        <v>5</v>
      </c>
      <c r="J16" s="5">
        <v>2</v>
      </c>
      <c r="K16" s="5">
        <v>1</v>
      </c>
      <c r="L16" s="5">
        <f t="shared" si="0"/>
        <v>8</v>
      </c>
      <c r="M16" s="2" t="s">
        <v>133</v>
      </c>
      <c r="N16" s="2" t="s">
        <v>42</v>
      </c>
      <c r="O16" s="2" t="s">
        <v>134</v>
      </c>
      <c r="P16" s="2" t="s">
        <v>135</v>
      </c>
    </row>
    <row r="17" spans="1:16" ht="120" x14ac:dyDescent="0.25">
      <c r="A17" s="2" t="s">
        <v>136</v>
      </c>
      <c r="B17" s="2" t="s">
        <v>16</v>
      </c>
      <c r="C17" s="2"/>
      <c r="D17" s="2" t="s">
        <v>27</v>
      </c>
      <c r="E17" s="2" t="s">
        <v>137</v>
      </c>
      <c r="F17" s="2" t="s">
        <v>138</v>
      </c>
      <c r="G17" s="4" t="s">
        <v>139</v>
      </c>
      <c r="H17" s="4" t="s">
        <v>140</v>
      </c>
      <c r="I17" s="5">
        <v>3</v>
      </c>
      <c r="J17" s="5">
        <v>2</v>
      </c>
      <c r="K17" s="5">
        <v>2</v>
      </c>
      <c r="L17" s="5">
        <f>SUM(I17:K17)</f>
        <v>7</v>
      </c>
      <c r="M17" s="2" t="s">
        <v>141</v>
      </c>
      <c r="N17" s="2" t="s">
        <v>142</v>
      </c>
      <c r="O17" s="2" t="s">
        <v>143</v>
      </c>
      <c r="P17" s="2" t="s">
        <v>144</v>
      </c>
    </row>
    <row r="18" spans="1:16" ht="120" x14ac:dyDescent="0.25">
      <c r="A18" s="2" t="s">
        <v>145</v>
      </c>
      <c r="B18" s="2" t="s">
        <v>16</v>
      </c>
      <c r="C18" s="2"/>
      <c r="D18" s="2" t="s">
        <v>146</v>
      </c>
      <c r="E18" s="2" t="s">
        <v>147</v>
      </c>
      <c r="F18" s="2" t="s">
        <v>148</v>
      </c>
      <c r="G18" s="4" t="s">
        <v>149</v>
      </c>
      <c r="H18" s="4" t="s">
        <v>150</v>
      </c>
      <c r="I18" s="5">
        <v>3</v>
      </c>
      <c r="J18" s="5">
        <v>5</v>
      </c>
      <c r="K18" s="5">
        <v>8</v>
      </c>
      <c r="L18" s="5">
        <f t="shared" si="0"/>
        <v>16</v>
      </c>
      <c r="M18" s="2" t="s">
        <v>151</v>
      </c>
      <c r="N18" s="2" t="s">
        <v>83</v>
      </c>
      <c r="O18" s="2" t="s">
        <v>152</v>
      </c>
      <c r="P18" s="2" t="s">
        <v>153</v>
      </c>
    </row>
    <row r="19" spans="1:16" ht="60" x14ac:dyDescent="0.25">
      <c r="A19" s="2" t="s">
        <v>154</v>
      </c>
      <c r="B19" s="2" t="s">
        <v>16</v>
      </c>
      <c r="C19" s="2"/>
      <c r="D19" s="2" t="s">
        <v>146</v>
      </c>
      <c r="E19" s="2" t="s">
        <v>155</v>
      </c>
      <c r="F19" s="2" t="s">
        <v>156</v>
      </c>
      <c r="G19" s="4" t="s">
        <v>157</v>
      </c>
      <c r="H19" s="8" t="s">
        <v>158</v>
      </c>
      <c r="I19" s="5">
        <v>2</v>
      </c>
      <c r="J19" s="5">
        <v>2</v>
      </c>
      <c r="K19" s="5">
        <v>2</v>
      </c>
      <c r="L19" s="5">
        <f t="shared" si="0"/>
        <v>6</v>
      </c>
      <c r="M19" s="2" t="s">
        <v>159</v>
      </c>
      <c r="N19" s="2" t="s">
        <v>42</v>
      </c>
      <c r="O19" s="2" t="s">
        <v>160</v>
      </c>
      <c r="P19" s="2" t="s">
        <v>161</v>
      </c>
    </row>
    <row r="20" spans="1:16" ht="60" x14ac:dyDescent="0.25">
      <c r="A20" s="2" t="s">
        <v>162</v>
      </c>
      <c r="B20" s="2" t="s">
        <v>16</v>
      </c>
      <c r="C20" s="2"/>
      <c r="D20" s="2" t="s">
        <v>128</v>
      </c>
      <c r="E20" s="2" t="s">
        <v>163</v>
      </c>
      <c r="F20" s="2" t="s">
        <v>164</v>
      </c>
      <c r="G20" s="4" t="s">
        <v>165</v>
      </c>
      <c r="H20" s="4" t="s">
        <v>166</v>
      </c>
      <c r="I20" s="5">
        <v>3</v>
      </c>
      <c r="J20" s="5">
        <v>3</v>
      </c>
      <c r="K20" s="5">
        <v>3</v>
      </c>
      <c r="L20" s="5">
        <f t="shared" si="0"/>
        <v>9</v>
      </c>
      <c r="M20" s="2" t="s">
        <v>167</v>
      </c>
      <c r="N20" s="2" t="s">
        <v>168</v>
      </c>
      <c r="O20" s="2" t="s">
        <v>169</v>
      </c>
      <c r="P20" s="2" t="s">
        <v>170</v>
      </c>
    </row>
    <row r="21" spans="1:16" ht="90" x14ac:dyDescent="0.25">
      <c r="A21" s="2" t="s">
        <v>171</v>
      </c>
      <c r="B21" s="2" t="s">
        <v>16</v>
      </c>
      <c r="C21" s="2"/>
      <c r="D21" s="2" t="s">
        <v>128</v>
      </c>
      <c r="E21" s="2" t="s">
        <v>172</v>
      </c>
      <c r="F21" s="2" t="s">
        <v>173</v>
      </c>
      <c r="G21" s="4" t="s">
        <v>174</v>
      </c>
      <c r="H21" s="5" t="s">
        <v>175</v>
      </c>
      <c r="I21" s="5">
        <v>2</v>
      </c>
      <c r="J21" s="5">
        <v>2</v>
      </c>
      <c r="K21" s="5">
        <v>3</v>
      </c>
      <c r="L21" s="5">
        <f t="shared" si="0"/>
        <v>7</v>
      </c>
      <c r="M21" s="2" t="s">
        <v>176</v>
      </c>
      <c r="N21" s="2" t="s">
        <v>177</v>
      </c>
      <c r="O21" s="2" t="s">
        <v>178</v>
      </c>
      <c r="P21" s="2" t="s">
        <v>179</v>
      </c>
    </row>
    <row r="22" spans="1:16" ht="90" x14ac:dyDescent="0.25">
      <c r="A22" s="2" t="s">
        <v>180</v>
      </c>
      <c r="B22" s="2" t="s">
        <v>16</v>
      </c>
      <c r="C22" s="2"/>
      <c r="D22" s="2" t="s">
        <v>181</v>
      </c>
      <c r="E22" s="2" t="s">
        <v>182</v>
      </c>
      <c r="F22" s="2" t="s">
        <v>183</v>
      </c>
      <c r="G22" s="4" t="s">
        <v>184</v>
      </c>
      <c r="H22" s="4" t="s">
        <v>185</v>
      </c>
      <c r="I22" s="5">
        <v>5</v>
      </c>
      <c r="J22" s="5">
        <v>3</v>
      </c>
      <c r="K22" s="5">
        <v>2</v>
      </c>
      <c r="L22" s="5">
        <f t="shared" si="0"/>
        <v>10</v>
      </c>
      <c r="M22" s="2" t="s">
        <v>186</v>
      </c>
      <c r="N22" s="2" t="s">
        <v>187</v>
      </c>
      <c r="O22" s="2" t="s">
        <v>188</v>
      </c>
      <c r="P22" s="2" t="s">
        <v>189</v>
      </c>
    </row>
    <row r="23" spans="1:16" ht="60" x14ac:dyDescent="0.25">
      <c r="A23" s="2" t="s">
        <v>190</v>
      </c>
      <c r="B23" s="2" t="s">
        <v>191</v>
      </c>
      <c r="C23" s="2"/>
      <c r="D23" s="2" t="s">
        <v>27</v>
      </c>
      <c r="E23" s="2" t="s">
        <v>192</v>
      </c>
      <c r="F23" s="2" t="s">
        <v>193</v>
      </c>
      <c r="G23" s="4" t="s">
        <v>194</v>
      </c>
      <c r="H23" s="4"/>
      <c r="I23" s="4"/>
      <c r="J23" s="4"/>
      <c r="K23" s="4"/>
      <c r="L23" s="4"/>
      <c r="M23" s="2" t="s">
        <v>195</v>
      </c>
      <c r="N23" s="2" t="s">
        <v>142</v>
      </c>
      <c r="O23" s="2" t="s">
        <v>196</v>
      </c>
      <c r="P23" s="2" t="s">
        <v>197</v>
      </c>
    </row>
  </sheetData>
  <autoFilter ref="A2:P23" xr:uid="{00000000-0001-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zoomScaleNormal="100" workbookViewId="0">
      <pane ySplit="1" topLeftCell="A2" activePane="bottomLeft" state="frozen"/>
      <selection pane="bottomLeft" activeCell="C9" sqref="C9"/>
    </sheetView>
  </sheetViews>
  <sheetFormatPr defaultColWidth="8.7109375" defaultRowHeight="15" x14ac:dyDescent="0.25"/>
  <cols>
    <col min="1" max="1" width="22" customWidth="1"/>
    <col min="2" max="2" width="56" customWidth="1"/>
    <col min="3" max="3" width="52" customWidth="1"/>
    <col min="4" max="4" width="18" customWidth="1"/>
  </cols>
  <sheetData>
    <row r="1" spans="1:4" x14ac:dyDescent="0.25">
      <c r="A1" s="1" t="s">
        <v>198</v>
      </c>
      <c r="B1" s="1" t="s">
        <v>199</v>
      </c>
      <c r="C1" s="1" t="s">
        <v>200</v>
      </c>
      <c r="D1" s="1" t="s">
        <v>201</v>
      </c>
    </row>
    <row r="2" spans="1:4" ht="45" x14ac:dyDescent="0.25">
      <c r="A2" s="2" t="s">
        <v>202</v>
      </c>
      <c r="B2" s="2" t="s">
        <v>203</v>
      </c>
      <c r="C2" s="2" t="s">
        <v>204</v>
      </c>
      <c r="D2" s="2" t="s">
        <v>205</v>
      </c>
    </row>
    <row r="3" spans="1:4" ht="60" x14ac:dyDescent="0.25">
      <c r="A3" s="2" t="s">
        <v>206</v>
      </c>
      <c r="B3" s="2" t="s">
        <v>207</v>
      </c>
      <c r="C3" s="2" t="s">
        <v>208</v>
      </c>
      <c r="D3" s="2" t="s">
        <v>205</v>
      </c>
    </row>
    <row r="4" spans="1:4" ht="45" x14ac:dyDescent="0.25">
      <c r="A4" s="2" t="s">
        <v>209</v>
      </c>
      <c r="B4" s="2" t="s">
        <v>210</v>
      </c>
      <c r="C4" s="2" t="s">
        <v>211</v>
      </c>
      <c r="D4" s="2" t="s">
        <v>212</v>
      </c>
    </row>
    <row r="5" spans="1:4" ht="45" x14ac:dyDescent="0.25">
      <c r="A5" s="2" t="s">
        <v>213</v>
      </c>
      <c r="B5" s="2" t="s">
        <v>214</v>
      </c>
      <c r="C5" s="2" t="s">
        <v>215</v>
      </c>
      <c r="D5" s="2" t="s">
        <v>212</v>
      </c>
    </row>
    <row r="6" spans="1:4" ht="45" x14ac:dyDescent="0.25">
      <c r="A6" s="2" t="s">
        <v>216</v>
      </c>
      <c r="B6" s="2" t="s">
        <v>217</v>
      </c>
      <c r="C6" s="2" t="s">
        <v>218</v>
      </c>
      <c r="D6" s="2" t="s">
        <v>212</v>
      </c>
    </row>
    <row r="7" spans="1:4" ht="45" x14ac:dyDescent="0.25">
      <c r="A7" s="2" t="s">
        <v>219</v>
      </c>
      <c r="B7" s="2" t="s">
        <v>220</v>
      </c>
      <c r="C7" s="2" t="s">
        <v>221</v>
      </c>
      <c r="D7" s="2" t="s">
        <v>212</v>
      </c>
    </row>
    <row r="8" spans="1:4" ht="45" x14ac:dyDescent="0.25">
      <c r="A8" s="2" t="s">
        <v>222</v>
      </c>
      <c r="B8" s="2" t="s">
        <v>223</v>
      </c>
      <c r="C8" s="2" t="s">
        <v>224</v>
      </c>
      <c r="D8" s="2" t="s">
        <v>205</v>
      </c>
    </row>
    <row r="9" spans="1:4" ht="30" x14ac:dyDescent="0.25">
      <c r="A9" s="2" t="s">
        <v>225</v>
      </c>
      <c r="B9" s="2" t="s">
        <v>226</v>
      </c>
      <c r="C9" s="2" t="s">
        <v>227</v>
      </c>
      <c r="D9" s="2" t="s">
        <v>228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zoomScaleNormal="100" workbookViewId="0">
      <pane ySplit="1" topLeftCell="A2" activePane="bottomLeft" state="frozen"/>
      <selection pane="bottomLeft" activeCell="B5" sqref="B5"/>
    </sheetView>
  </sheetViews>
  <sheetFormatPr defaultColWidth="8.7109375" defaultRowHeight="15" x14ac:dyDescent="0.25"/>
  <cols>
    <col min="1" max="1" width="8" customWidth="1"/>
    <col min="2" max="2" width="46" customWidth="1"/>
    <col min="3" max="3" width="72" customWidth="1"/>
  </cols>
  <sheetData>
    <row r="1" spans="1:3" x14ac:dyDescent="0.25">
      <c r="A1" s="1" t="s">
        <v>229</v>
      </c>
      <c r="B1" s="1" t="s">
        <v>230</v>
      </c>
      <c r="C1" s="1" t="s">
        <v>231</v>
      </c>
    </row>
    <row r="2" spans="1:3" ht="63.75" customHeight="1" x14ac:dyDescent="0.25">
      <c r="A2" s="2" t="s">
        <v>232</v>
      </c>
      <c r="B2" s="2" t="s">
        <v>233</v>
      </c>
      <c r="C2" s="2" t="s">
        <v>234</v>
      </c>
    </row>
    <row r="3" spans="1:3" ht="63.75" customHeight="1" x14ac:dyDescent="0.25">
      <c r="A3" s="2" t="s">
        <v>235</v>
      </c>
      <c r="B3" s="2" t="s">
        <v>236</v>
      </c>
      <c r="C3" s="2" t="s">
        <v>237</v>
      </c>
    </row>
    <row r="4" spans="1:3" ht="63.75" customHeight="1" x14ac:dyDescent="0.25">
      <c r="A4" s="2" t="s">
        <v>238</v>
      </c>
      <c r="B4" s="2" t="s">
        <v>239</v>
      </c>
      <c r="C4" s="2" t="s">
        <v>240</v>
      </c>
    </row>
    <row r="5" spans="1:3" ht="63.75" customHeight="1" x14ac:dyDescent="0.25">
      <c r="A5" s="2" t="s">
        <v>241</v>
      </c>
      <c r="B5" s="2" t="s">
        <v>242</v>
      </c>
      <c r="C5" s="2" t="s">
        <v>243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zoomScaleNormal="100" workbookViewId="0">
      <pane ySplit="1" topLeftCell="A6" activePane="bottomLeft" state="frozen"/>
      <selection pane="bottomLeft" activeCell="B9" sqref="B9"/>
    </sheetView>
  </sheetViews>
  <sheetFormatPr defaultColWidth="8.7109375" defaultRowHeight="15" x14ac:dyDescent="0.25"/>
  <cols>
    <col min="1" max="1" width="14" customWidth="1"/>
    <col min="2" max="2" width="34" customWidth="1"/>
    <col min="3" max="3" width="30" customWidth="1"/>
    <col min="4" max="5" width="28" customWidth="1"/>
    <col min="6" max="6" width="26" customWidth="1"/>
    <col min="7" max="7" width="14" customWidth="1"/>
  </cols>
  <sheetData>
    <row r="1" spans="1:7" x14ac:dyDescent="0.25">
      <c r="A1" s="1" t="s">
        <v>244</v>
      </c>
      <c r="B1" s="1" t="s">
        <v>245</v>
      </c>
      <c r="C1" s="1" t="s">
        <v>246</v>
      </c>
      <c r="D1" s="1" t="s">
        <v>247</v>
      </c>
      <c r="E1" s="1" t="s">
        <v>248</v>
      </c>
      <c r="F1" s="1" t="s">
        <v>249</v>
      </c>
      <c r="G1" s="1" t="s">
        <v>250</v>
      </c>
    </row>
    <row r="2" spans="1:7" ht="90" x14ac:dyDescent="0.25">
      <c r="A2" s="2" t="s">
        <v>251</v>
      </c>
      <c r="B2" s="2" t="s">
        <v>252</v>
      </c>
      <c r="C2" s="2" t="s">
        <v>253</v>
      </c>
      <c r="D2" s="2" t="s">
        <v>254</v>
      </c>
      <c r="E2" s="2" t="s">
        <v>255</v>
      </c>
      <c r="F2" s="2" t="s">
        <v>256</v>
      </c>
      <c r="G2" s="2" t="s">
        <v>257</v>
      </c>
    </row>
    <row r="3" spans="1:7" ht="90" x14ac:dyDescent="0.25">
      <c r="A3" s="2" t="s">
        <v>258</v>
      </c>
      <c r="B3" s="2" t="s">
        <v>259</v>
      </c>
      <c r="C3" s="2" t="s">
        <v>260</v>
      </c>
      <c r="D3" s="2" t="s">
        <v>261</v>
      </c>
      <c r="E3" s="2" t="s">
        <v>262</v>
      </c>
      <c r="F3" s="2" t="s">
        <v>263</v>
      </c>
      <c r="G3" s="2" t="s">
        <v>205</v>
      </c>
    </row>
    <row r="4" spans="1:7" ht="75" x14ac:dyDescent="0.25">
      <c r="A4" s="2" t="s">
        <v>264</v>
      </c>
      <c r="B4" s="2" t="s">
        <v>265</v>
      </c>
      <c r="C4" s="2" t="s">
        <v>266</v>
      </c>
      <c r="D4" s="2" t="s">
        <v>267</v>
      </c>
      <c r="E4" s="2" t="s">
        <v>268</v>
      </c>
      <c r="F4" s="2" t="s">
        <v>269</v>
      </c>
      <c r="G4" s="2" t="s">
        <v>205</v>
      </c>
    </row>
    <row r="5" spans="1:7" ht="90" x14ac:dyDescent="0.25">
      <c r="A5" s="2" t="s">
        <v>270</v>
      </c>
      <c r="B5" s="2" t="s">
        <v>271</v>
      </c>
      <c r="C5" s="2" t="s">
        <v>272</v>
      </c>
      <c r="D5" s="2" t="s">
        <v>273</v>
      </c>
      <c r="E5" s="2" t="s">
        <v>274</v>
      </c>
      <c r="F5" s="2" t="s">
        <v>26</v>
      </c>
      <c r="G5" s="2" t="s">
        <v>205</v>
      </c>
    </row>
    <row r="6" spans="1:7" ht="75" x14ac:dyDescent="0.25">
      <c r="A6" s="2" t="s">
        <v>275</v>
      </c>
      <c r="B6" s="2" t="s">
        <v>276</v>
      </c>
      <c r="C6" s="2" t="s">
        <v>277</v>
      </c>
      <c r="D6" s="2" t="s">
        <v>278</v>
      </c>
      <c r="E6" s="2" t="s">
        <v>279</v>
      </c>
      <c r="F6" s="2" t="s">
        <v>280</v>
      </c>
      <c r="G6" s="2" t="s">
        <v>205</v>
      </c>
    </row>
    <row r="7" spans="1:7" ht="60" x14ac:dyDescent="0.25">
      <c r="A7" s="2" t="s">
        <v>281</v>
      </c>
      <c r="B7" s="2" t="s">
        <v>282</v>
      </c>
      <c r="C7" s="2" t="s">
        <v>283</v>
      </c>
      <c r="D7" s="2" t="s">
        <v>284</v>
      </c>
      <c r="E7" s="2" t="s">
        <v>285</v>
      </c>
      <c r="F7" s="2" t="s">
        <v>286</v>
      </c>
      <c r="G7" s="2" t="s">
        <v>205</v>
      </c>
    </row>
    <row r="8" spans="1:7" ht="90" x14ac:dyDescent="0.25">
      <c r="A8" s="2" t="s">
        <v>287</v>
      </c>
      <c r="B8" s="2" t="s">
        <v>288</v>
      </c>
      <c r="C8" s="2" t="s">
        <v>289</v>
      </c>
      <c r="D8" s="2" t="s">
        <v>290</v>
      </c>
      <c r="E8" s="2" t="s">
        <v>291</v>
      </c>
      <c r="F8" s="2" t="s">
        <v>77</v>
      </c>
      <c r="G8" s="2" t="s">
        <v>205</v>
      </c>
    </row>
    <row r="9" spans="1:7" ht="75" x14ac:dyDescent="0.25">
      <c r="A9" s="2" t="s">
        <v>292</v>
      </c>
      <c r="B9" s="2" t="s">
        <v>293</v>
      </c>
      <c r="C9" s="2" t="s">
        <v>294</v>
      </c>
      <c r="D9" s="2" t="s">
        <v>295</v>
      </c>
      <c r="E9" s="2" t="s">
        <v>274</v>
      </c>
      <c r="F9" s="2" t="s">
        <v>296</v>
      </c>
      <c r="G9" s="2" t="s">
        <v>205</v>
      </c>
    </row>
    <row r="10" spans="1:7" ht="90" x14ac:dyDescent="0.25">
      <c r="A10" s="2" t="s">
        <v>297</v>
      </c>
      <c r="B10" s="2" t="s">
        <v>298</v>
      </c>
      <c r="C10" s="2" t="s">
        <v>299</v>
      </c>
      <c r="D10" s="2" t="s">
        <v>300</v>
      </c>
      <c r="E10" s="2" t="s">
        <v>301</v>
      </c>
      <c r="F10" s="2" t="s">
        <v>302</v>
      </c>
      <c r="G10" s="2" t="s">
        <v>303</v>
      </c>
    </row>
    <row r="11" spans="1:7" ht="90" x14ac:dyDescent="0.25">
      <c r="A11" s="2" t="s">
        <v>304</v>
      </c>
      <c r="B11" s="2" t="s">
        <v>305</v>
      </c>
      <c r="C11" s="2" t="s">
        <v>306</v>
      </c>
      <c r="D11" s="2" t="s">
        <v>307</v>
      </c>
      <c r="E11" s="2" t="s">
        <v>308</v>
      </c>
      <c r="F11" s="2" t="s">
        <v>171</v>
      </c>
      <c r="G11" s="2" t="s">
        <v>205</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ED4E39A01BE2449F43F42527F1C1F0" ma:contentTypeVersion="11" ma:contentTypeDescription="Create a new document." ma:contentTypeScope="" ma:versionID="3bac8f0b67a842de5659534b405c65ff">
  <xsd:schema xmlns:xsd="http://www.w3.org/2001/XMLSchema" xmlns:xs="http://www.w3.org/2001/XMLSchema" xmlns:p="http://schemas.microsoft.com/office/2006/metadata/properties" xmlns:ns2="02bf2778-24e3-4c6f-b008-1345d3f009c2" xmlns:ns3="f3cd1ddb-24f2-4be3-b6b9-8b731f09705b" targetNamespace="http://schemas.microsoft.com/office/2006/metadata/properties" ma:root="true" ma:fieldsID="e177734172110946afca57ae1047e29e" ns2:_="" ns3:_="">
    <xsd:import namespace="02bf2778-24e3-4c6f-b008-1345d3f009c2"/>
    <xsd:import namespace="f3cd1ddb-24f2-4be3-b6b9-8b731f09705b"/>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f2778-24e3-4c6f-b008-1345d3f009c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0" nillable="true" ma:displayName="Taxonomy Catch All Column" ma:hidden="true" ma:list="{4dceee35-2793-4bce-81cb-da2de5157556}" ma:internalName="TaxCatchAll" ma:showField="CatchAllData" ma:web="02bf2778-24e3-4c6f-b008-1345d3f009c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cd1ddb-24f2-4be3-b6b9-8b731f09705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ec66135-42be-434e-9542-a990e2d4ea7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2bf2778-24e3-4c6f-b008-1345d3f009c2" xsi:nil="true"/>
    <lcf76f155ced4ddcb4097134ff3c332f xmlns="f3cd1ddb-24f2-4be3-b6b9-8b731f09705b">
      <Terms xmlns="http://schemas.microsoft.com/office/infopath/2007/PartnerControls"/>
    </lcf76f155ced4ddcb4097134ff3c332f>
    <_dlc_DocId xmlns="02bf2778-24e3-4c6f-b008-1345d3f009c2">FSDC23KTIMA-247695099-65317</_dlc_DocId>
    <_dlc_DocIdUrl xmlns="02bf2778-24e3-4c6f-b008-1345d3f009c2">
      <Url>https://futrantechsolutions.sharepoint.com/sites/FutranDocConnect/_layouts/15/DocIdRedir.aspx?ID=FSDC23KTIMA-247695099-65317</Url>
      <Description>FSDC23KTIMA-247695099-65317</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797AE37-6B1B-43FC-8DC6-47AE289CCD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f2778-24e3-4c6f-b008-1345d3f009c2"/>
    <ds:schemaRef ds:uri="f3cd1ddb-24f2-4be3-b6b9-8b731f0970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698207-4471-46AD-B5B2-7C315886E820}">
  <ds:schemaRefs>
    <ds:schemaRef ds:uri="http://schemas.microsoft.com/office/2006/metadata/properties"/>
    <ds:schemaRef ds:uri="http://schemas.microsoft.com/office/infopath/2007/PartnerControls"/>
    <ds:schemaRef ds:uri="02bf2778-24e3-4c6f-b008-1345d3f009c2"/>
    <ds:schemaRef ds:uri="f3cd1ddb-24f2-4be3-b6b9-8b731f09705b"/>
  </ds:schemaRefs>
</ds:datastoreItem>
</file>

<file path=customXml/itemProps3.xml><?xml version="1.0" encoding="utf-8"?>
<ds:datastoreItem xmlns:ds="http://schemas.openxmlformats.org/officeDocument/2006/customXml" ds:itemID="{809A863D-11F1-4D57-9791-CEB78056E3CE}">
  <ds:schemaRefs>
    <ds:schemaRef ds:uri="http://schemas.microsoft.com/sharepoint/v3/contenttype/forms"/>
  </ds:schemaRefs>
</ds:datastoreItem>
</file>

<file path=customXml/itemProps4.xml><?xml version="1.0" encoding="utf-8"?>
<ds:datastoreItem xmlns:ds="http://schemas.openxmlformats.org/officeDocument/2006/customXml" ds:itemID="{662DFD31-AD7D-4F79-A671-BCBA0182668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Detailed Feature Expansion</vt:lpstr>
      <vt:lpstr>Risks</vt:lpstr>
      <vt:lpstr>Out Of Scope</vt:lpstr>
      <vt:lpstr>Open Confirmations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Bedanta Pradhan</cp:lastModifiedBy>
  <cp:revision>0</cp:revision>
  <dcterms:created xsi:type="dcterms:W3CDTF">2026-07-05T18:19:13Z</dcterms:created>
  <dcterms:modified xsi:type="dcterms:W3CDTF">2026-09-08T11:29:16Z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0x01010092ED4E39A01BE2449F43F42527F1C1F0</vt:lpwstr>
  </property>
  <property fmtid="{D5CDD505-2E9C-101B-9397-08002B2CF9AE}" pid="3" name="_dlc_DocIdItemGuid">
    <vt:lpwstr>560ed055-9431-4383-9c5f-fbf80d8b1bb5</vt:lpwstr>
  </property>
  <property fmtid="{D5CDD505-2E9C-101B-9397-08002B2CF9AE}" pid="4" name="MediaServiceImageTags">
    <vt:lpwstr/>
  </property>
</Properties>
</file>